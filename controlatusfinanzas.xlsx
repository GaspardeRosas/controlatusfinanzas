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LENOVO\Documents\PROYECTO 1\"/>
    </mc:Choice>
  </mc:AlternateContent>
  <xr:revisionPtr revIDLastSave="0" documentId="8_{8D05A3C2-DF33-4449-95FE-5F7B2114B41A}" xr6:coauthVersionLast="47" xr6:coauthVersionMax="47" xr10:uidLastSave="{00000000-0000-0000-0000-000000000000}"/>
  <bookViews>
    <workbookView xWindow="-120" yWindow="-120" windowWidth="20730" windowHeight="11160" xr2:uid="{00000000-000D-0000-FFFF-FFFF00000000}"/>
  </bookViews>
  <sheets>
    <sheet name="Instrucciones" sheetId="1" r:id="rId1"/>
    <sheet name="Activos" sheetId="2" r:id="rId2"/>
    <sheet name="Evolución" sheetId="3" r:id="rId3"/>
    <sheet name="Dashboard"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2" i="2" l="1"/>
  <c r="I13" i="2"/>
  <c r="H12" i="2"/>
  <c r="H13" i="2"/>
  <c r="H10" i="2" l="1"/>
  <c r="I2" i="2"/>
  <c r="J9" i="3" a="1"/>
  <c r="J9" i="3" s="1"/>
  <c r="H4" i="3"/>
  <c r="H2" i="2"/>
  <c r="H3" i="2"/>
  <c r="I3" i="2"/>
  <c r="H4" i="2"/>
  <c r="I4" i="2"/>
  <c r="H5" i="2"/>
  <c r="I5" i="2"/>
  <c r="H6" i="2"/>
  <c r="I6" i="2"/>
  <c r="H7" i="2"/>
  <c r="I7" i="2"/>
  <c r="H8" i="2"/>
  <c r="I8" i="2"/>
  <c r="H9" i="2"/>
  <c r="I9" i="2"/>
  <c r="H11" i="2"/>
  <c r="J11" i="2" s="1"/>
  <c r="I11" i="2"/>
  <c r="G2" i="3"/>
  <c r="J7" i="3" a="1"/>
  <c r="J7" i="3" s="1"/>
  <c r="J6" i="3"/>
  <c r="M14" i="2"/>
  <c r="M13" i="2"/>
  <c r="J9" i="2" l="1"/>
  <c r="J8" i="2"/>
  <c r="J7" i="2"/>
  <c r="J6" i="2"/>
  <c r="J5" i="2"/>
  <c r="J4" i="2"/>
  <c r="J3" i="2"/>
  <c r="J4" i="3" a="1"/>
  <c r="J4" i="3" s="1"/>
  <c r="D8" i="4" s="1"/>
  <c r="H3" i="3"/>
  <c r="J2" i="2"/>
  <c r="J10" i="2"/>
  <c r="I10" i="2"/>
  <c r="M4" i="2" s="1"/>
  <c r="D5" i="4" s="1"/>
  <c r="M11" i="2"/>
  <c r="J8" i="3"/>
  <c r="M12" i="2"/>
  <c r="M9" i="2"/>
  <c r="M10" i="2"/>
  <c r="B8" i="4"/>
  <c r="J3" i="3" a="1"/>
  <c r="J3" i="3" s="1"/>
  <c r="J5" i="3" s="1"/>
  <c r="J10" i="3" s="1"/>
  <c r="I8" i="4" l="1"/>
  <c r="M6" i="2"/>
  <c r="K11" i="3"/>
  <c r="K10" i="3"/>
  <c r="M3" i="2"/>
  <c r="B5" i="4" s="1"/>
  <c r="F8" i="4"/>
  <c r="M5" i="2"/>
  <c r="F5"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<sst xmlns="http://schemas.openxmlformats.org/spreadsheetml/2006/main" count="79" uniqueCount="75">
  <si>
    <t>• Esta plantilla sirve para: (1) ver la distribución actual de tu portafolio, (2) seguir la evolución del patrimonio total y del dinero en billetera virtual, y (3) obtener alertas y análisis descriptivos (no asesoría financiera).</t>
  </si>
  <si>
    <t>• Hoja "Activos": pega o carga tus posiciones actuales. Puedes reemplazar los datos de ejemplo por exportaciones de tu broker o exchange.</t>
  </si>
  <si>
    <t>• Hoja "Dashboard": muestra indicadores y gráficos en automático. Las métricas se recalculan cuando cambias los datos de las hojas anteriores.</t>
  </si>
  <si>
    <t>• Automatización recomendada #1 (sin programar): exporta CSV/XLSX desde tu broker y billetera, y usa Power Query en Excel para importarlos y actualizar con un clic.</t>
  </si>
  <si>
    <t>• Automatización recomendada #2 (con API): si tu broker/exchange/billetera ofrece API, puedes conectarla con Power Query, Office Scripts o Python para refrescar precios, movimientos y saldos.</t>
  </si>
  <si>
    <t>• Automatización recomendada #3 (Google Sheets/Excel Online): puedes centralizar datos en una tabla maestra y conectar Excel a esa fuente.</t>
  </si>
  <si>
    <t>Fecha</t>
  </si>
  <si>
    <t>Ticker</t>
  </si>
  <si>
    <t>Nombre</t>
  </si>
  <si>
    <t>Clase de activo</t>
  </si>
  <si>
    <t>Moneda</t>
  </si>
  <si>
    <t>Cantidad</t>
  </si>
  <si>
    <t>Precio actual</t>
  </si>
  <si>
    <t>Valor actual</t>
  </si>
  <si>
    <t>Resultado no realizado</t>
  </si>
  <si>
    <t>% del portafolio</t>
  </si>
  <si>
    <t>Acciones</t>
  </si>
  <si>
    <t>Resumen</t>
  </si>
  <si>
    <t>Valor portafolio</t>
  </si>
  <si>
    <t>Activo más concentrado</t>
  </si>
  <si>
    <t>Clase</t>
  </si>
  <si>
    <t>Valor</t>
  </si>
  <si>
    <t>Otros</t>
  </si>
  <si>
    <t>Saldo billetera virtual</t>
  </si>
  <si>
    <t>Patrimonio total</t>
  </si>
  <si>
    <t>Indicadores</t>
  </si>
  <si>
    <t>Patrimonio inicial</t>
  </si>
  <si>
    <t>Patrimonio actual</t>
  </si>
  <si>
    <t>Variación acumulada</t>
  </si>
  <si>
    <t>Billetera inicial</t>
  </si>
  <si>
    <t>Billetera actual</t>
  </si>
  <si>
    <t>Variación billetera</t>
  </si>
  <si>
    <t>Valor portafolio actual</t>
  </si>
  <si>
    <t>Saldo billetera actual</t>
  </si>
  <si>
    <t>Patrimonio total actual</t>
  </si>
  <si>
    <t>Variación patrimonio</t>
  </si>
  <si>
    <t>Lectura rápida (descriptiva, no recomendación financiera)</t>
  </si>
  <si>
    <t>• Si el activo más concentrado supera tu límite objetivo (por ejemplo 20%-30%), tienes riesgo de concentración.</t>
  </si>
  <si>
    <t>• Si la billetera virtual sube demasiado versus el patrimonio total, quizá estás acumulando liquidez sin asignarla a tu estrategia.</t>
  </si>
  <si>
    <t>• Compara la variación de patrimonio con tu benchmark para revisar si el portafolio acompaña tu objetivo.</t>
  </si>
  <si>
    <t>• Observa la mezcla por clase de activo para ver si la exposición a ARS/USD o a activos volátiles coincide con tu tolerancia al riesgo.</t>
  </si>
  <si>
    <t>Tip: si conviertes tus exportaciones a tablas con el mismo esquema, solo pega filas nuevas y todo el dashboard se actualiza.</t>
  </si>
  <si>
    <t>CEDEARS</t>
  </si>
  <si>
    <t>Billetera Virtual</t>
  </si>
  <si>
    <t>Efectivo(USD)</t>
  </si>
  <si>
    <t>Efectivo(ARS)</t>
  </si>
  <si>
    <t>Dolares</t>
  </si>
  <si>
    <t xml:space="preserve">Resultado </t>
  </si>
  <si>
    <t>Pesos</t>
  </si>
  <si>
    <t>Dashboard</t>
  </si>
  <si>
    <t>Inflación</t>
  </si>
  <si>
    <t>Poder Adquisitivo</t>
  </si>
  <si>
    <t xml:space="preserve">es necesario restar gastos y sumar ingresos del saldo inicial en donde figura la cantidad de pesos </t>
  </si>
  <si>
    <t>e ingresar el saldo actual donde figura el valor actual</t>
  </si>
  <si>
    <t>MENSUALMENTE A PARTIR DEL PRIMER MES TRANSCURRRIDO TENIENDO EN CUENTA LA ULTIMA</t>
  </si>
  <si>
    <t xml:space="preserve">IMPORTANTE! CARGAR PRECIO DEL DÓLAR SEMANALMENTE Y ANOTAR LA TASA DE INFLACIÓN  </t>
  </si>
  <si>
    <t>TASA DE INFLACIÓN DISPONIBLE</t>
  </si>
  <si>
    <t xml:space="preserve">IMPORTANTE! Para calcular la ganancia periódica en billeteras virtuales que generan rendimiento </t>
  </si>
  <si>
    <t>• Hoja "Evolución": registra por fecha el valor total del portafolio y el saldo de la billetera virtual. Si pegas un historial periódico, el dashboard se actualiza solo.</t>
  </si>
  <si>
    <t xml:space="preserve">TUTORIAL RECOMENDADO: Desde tu broker o página que utilizás para invertir, exporta los datos a un </t>
  </si>
  <si>
    <t xml:space="preserve">chat específico con la IA que utilizes habitualmente y pídele que te separe los datos para pegar en una </t>
  </si>
  <si>
    <t xml:space="preserve">planilla de excel. </t>
  </si>
  <si>
    <t>https://www.indec.gob.ar/</t>
  </si>
  <si>
    <t xml:space="preserve">Chequeá la inlflación en el link </t>
  </si>
  <si>
    <t>Evolución periódica</t>
  </si>
  <si>
    <t>Tasa inflación mensual (mes anterior)</t>
  </si>
  <si>
    <t>IMPORTANTE! Cada carga nueva deberás anotar el nuevo precio de cada activo y se recomienda anotar el resultado de un activo si este se va a vender/gastar/etc. Asi cuando se borra la fila no se pierden los resultados para ese activo. (Se debe borrar los datos de los activos que ya no posee para no afectar los porcentajes)</t>
  </si>
  <si>
    <t>1. Exportar estado de cuenta del broker.</t>
  </si>
  <si>
    <t>2. Actualizar precios actuales.</t>
  </si>
  <si>
    <t>3. Actualizar saldo de billetera.</t>
  </si>
  <si>
    <t>4. Agregar una fila en Evolución.</t>
  </si>
  <si>
    <t>5. Revisar Dashboard.</t>
  </si>
  <si>
    <t>Pasos recomendados</t>
  </si>
  <si>
    <t>Precio promedio compra</t>
  </si>
  <si>
    <t>Liquidez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</si>
</sst>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 #,##0.00;\-&quot;$&quot;\ #,##0.00"/>
    <numFmt numFmtId="44" formatCode="_-&quot;$&quot;\ * #,##0.00_-;\-&quot;$&quot;\ * #,##0.00_-;_-&quot;$&quot;\ * &quot;-&quot;??_-;_-@_-"/>
    <numFmt numFmtId="164" formatCode="\$#,##0.00"/>
    <numFmt numFmtId="165" formatCode="&quot;$&quot;\ #,##0.00"/>
  </numFmts>
  <fonts count="9" x14ac:knownFonts="1">
    <font>
      <sz val="11"/>
      <color theme="1"/>
      <name val="Calibri"/>
      <family val="2"/>
      <scheme val="minor"/>
    </font>
    <font>
      <b/>
      <sz val="11"/>
      <color theme="1"/>
      <name val="Calibri"/>
      <family val="2"/>
      <scheme val="minor"/>
    </font>
    <font>
      <i/>
      <sz val="11"/>
      <color rgb="FF555555"/>
      <name val="Calibri"/>
      <family val="2"/>
      <scheme val="minor"/>
    </font>
    <font>
      <b/>
      <sz val="11"/>
      <color rgb="FFFFFFFF"/>
      <name val="Calibri"/>
      <family val="2"/>
      <scheme val="minor"/>
    </font>
    <font>
      <b/>
      <sz val="16"/>
      <color theme="1"/>
      <name val="Calibri"/>
      <family val="2"/>
      <scheme val="minor"/>
    </font>
    <font>
      <sz val="11"/>
      <color theme="1"/>
      <name val="Calibri"/>
      <family val="2"/>
      <scheme val="minor"/>
    </font>
    <font>
      <b/>
      <sz val="11"/>
      <name val="Calibri"/>
      <family val="2"/>
      <scheme val="minor"/>
    </font>
    <font>
      <u/>
      <sz val="11"/>
      <color theme="10"/>
      <name val="Calibri"/>
      <family val="2"/>
      <scheme val="minor"/>
    </font>
    <font>
      <i/>
      <sz val="11"/>
      <name val="Calibri"/>
      <family val="2"/>
      <scheme val="minor"/>
    </font>
  </fonts>
  <fills count="4">
    <fill>
      <patternFill patternType="none"/>
    </fill>
    <fill>
      <patternFill patternType="gray125"/>
    </fill>
    <fill>
      <patternFill patternType="solid">
        <fgColor rgb="FF1F4E78"/>
        <bgColor indexed="64"/>
      </patternFill>
    </fill>
    <fill>
      <patternFill patternType="solid">
        <fgColor rgb="FFD9EAF7"/>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s>
  <cellStyleXfs count="4">
    <xf numFmtId="0" fontId="0" fillId="0" borderId="0"/>
    <xf numFmtId="44" fontId="5" fillId="0" borderId="0" applyFont="0" applyFill="0" applyBorder="0" applyAlignment="0" applyProtection="0"/>
    <xf numFmtId="9" fontId="5" fillId="0" borderId="0" applyFont="0" applyFill="0" applyBorder="0" applyAlignment="0" applyProtection="0"/>
    <xf numFmtId="0" fontId="7" fillId="0" borderId="0" applyNumberFormat="0" applyFill="0" applyBorder="0" applyAlignment="0" applyProtection="0"/>
  </cellStyleXfs>
  <cellXfs count="44">
    <xf numFmtId="0" fontId="0" fillId="0" borderId="0" xfId="0"/>
    <xf numFmtId="0" fontId="0" fillId="0" borderId="0" xfId="0" applyAlignment="1">
      <alignment vertical="top" wrapText="1"/>
    </xf>
    <xf numFmtId="0" fontId="1" fillId="0" borderId="0" xfId="0" applyFont="1"/>
    <xf numFmtId="0" fontId="2" fillId="0" borderId="0" xfId="0" applyFont="1" applyAlignment="1">
      <alignment wrapText="1"/>
    </xf>
    <xf numFmtId="0" fontId="0" fillId="0" borderId="1" xfId="0" applyBorder="1"/>
    <xf numFmtId="10" fontId="0" fillId="0" borderId="1" xfId="0" applyNumberFormat="1" applyBorder="1"/>
    <xf numFmtId="164" fontId="0" fillId="0" borderId="1" xfId="0" applyNumberFormat="1" applyBorder="1"/>
    <xf numFmtId="4" fontId="0" fillId="0" borderId="1" xfId="0" applyNumberFormat="1" applyBorder="1"/>
    <xf numFmtId="0" fontId="3" fillId="2" borderId="1" xfId="0" applyFont="1" applyFill="1" applyBorder="1" applyAlignment="1">
      <alignment horizontal="center" vertical="center"/>
    </xf>
    <xf numFmtId="10" fontId="0" fillId="0" borderId="1" xfId="0" applyNumberFormat="1" applyBorder="1"/>
    <xf numFmtId="0" fontId="1" fillId="0" borderId="0" xfId="0" applyFont="1" applyFill="1" applyBorder="1"/>
    <xf numFmtId="7" fontId="0" fillId="0" borderId="1" xfId="1" applyNumberFormat="1" applyFont="1" applyBorder="1"/>
    <xf numFmtId="7" fontId="0" fillId="0" borderId="1" xfId="0" applyNumberFormat="1" applyBorder="1"/>
    <xf numFmtId="10" fontId="0" fillId="0" borderId="0" xfId="0" applyNumberFormat="1"/>
    <xf numFmtId="4" fontId="0" fillId="0" borderId="0" xfId="0" applyNumberFormat="1"/>
    <xf numFmtId="4" fontId="0" fillId="0" borderId="1" xfId="1" applyNumberFormat="1" applyFont="1" applyBorder="1"/>
    <xf numFmtId="165" fontId="0" fillId="0" borderId="1" xfId="0" applyNumberFormat="1" applyBorder="1"/>
    <xf numFmtId="0" fontId="0" fillId="0" borderId="1" xfId="0" applyBorder="1"/>
    <xf numFmtId="0" fontId="0" fillId="0" borderId="2" xfId="0" applyBorder="1"/>
    <xf numFmtId="0" fontId="0" fillId="0" borderId="3" xfId="0" applyBorder="1"/>
    <xf numFmtId="0" fontId="0" fillId="0" borderId="4" xfId="0" applyBorder="1"/>
    <xf numFmtId="14" fontId="0" fillId="0" borderId="1" xfId="0" applyNumberFormat="1" applyBorder="1"/>
    <xf numFmtId="44" fontId="0" fillId="0" borderId="1" xfId="1" applyFont="1" applyBorder="1"/>
    <xf numFmtId="44" fontId="0" fillId="0" borderId="0" xfId="1" applyFont="1"/>
    <xf numFmtId="14" fontId="0" fillId="0" borderId="0" xfId="0" applyNumberFormat="1"/>
    <xf numFmtId="0" fontId="0" fillId="0" borderId="1" xfId="0" applyBorder="1"/>
    <xf numFmtId="0" fontId="6" fillId="0" borderId="0" xfId="0" applyFont="1" applyAlignment="1">
      <alignment wrapText="1"/>
    </xf>
    <xf numFmtId="0" fontId="6" fillId="0" borderId="0" xfId="0" applyFont="1" applyAlignment="1">
      <alignment vertical="top" wrapText="1"/>
    </xf>
    <xf numFmtId="0" fontId="7" fillId="0" borderId="0" xfId="3"/>
    <xf numFmtId="0" fontId="0" fillId="0" borderId="0" xfId="0" applyFill="1"/>
    <xf numFmtId="10" fontId="0" fillId="0" borderId="1" xfId="1" applyNumberFormat="1" applyFont="1" applyBorder="1"/>
    <xf numFmtId="10" fontId="0" fillId="0" borderId="0" xfId="2" applyNumberFormat="1" applyFont="1"/>
    <xf numFmtId="10" fontId="0" fillId="0" borderId="1" xfId="2" applyNumberFormat="1" applyFont="1" applyBorder="1"/>
    <xf numFmtId="0" fontId="8" fillId="0" borderId="0" xfId="0" applyFont="1" applyAlignment="1">
      <alignment wrapText="1"/>
    </xf>
    <xf numFmtId="10" fontId="0" fillId="0" borderId="5" xfId="0" applyNumberFormat="1" applyBorder="1" applyAlignment="1"/>
    <xf numFmtId="10" fontId="0" fillId="0" borderId="1" xfId="0" applyNumberFormat="1" applyBorder="1"/>
    <xf numFmtId="4" fontId="0" fillId="0" borderId="0" xfId="1" applyNumberFormat="1" applyFont="1"/>
    <xf numFmtId="1" fontId="0" fillId="0" borderId="0" xfId="0" applyNumberFormat="1"/>
    <xf numFmtId="1" fontId="0" fillId="0" borderId="1" xfId="0" applyNumberFormat="1" applyBorder="1"/>
    <xf numFmtId="0" fontId="3" fillId="2" borderId="1" xfId="0" applyFont="1" applyFill="1" applyBorder="1" applyAlignment="1">
      <alignment horizontal="center" vertical="center"/>
    </xf>
    <xf numFmtId="164" fontId="0" fillId="0" borderId="1" xfId="0" applyNumberFormat="1" applyBorder="1"/>
    <xf numFmtId="0" fontId="0" fillId="0" borderId="1" xfId="0" applyBorder="1"/>
    <xf numFmtId="10" fontId="0" fillId="0" borderId="1" xfId="0" applyNumberFormat="1" applyBorder="1"/>
    <xf numFmtId="0" fontId="4" fillId="3" borderId="1" xfId="0" applyFont="1" applyFill="1" applyBorder="1" applyAlignment="1">
      <alignment horizontal="center" vertical="center"/>
    </xf>
  </cellXfs>
  <cellStyles count="4">
    <cellStyle name="Hipervínculo" xfId="3" builtinId="8"/>
    <cellStyle name="Moneda" xfId="1" builtinId="4"/>
    <cellStyle name="Normal" xfId="0" builtinId="0"/>
    <cellStyle name="Porcentaje" xfId="2" builtinId="5"/>
  </cellStyles>
  <dxfs count="24">
    <dxf>
      <border>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numFmt numFmtId="14" formatCode="0.00%"/>
      <border diagonalUp="0" diagonalDown="0">
        <left style="thin">
          <color auto="1"/>
        </left>
        <right style="thin">
          <color auto="1"/>
        </right>
        <top style="thin">
          <color auto="1"/>
        </top>
        <bottom style="thin">
          <color auto="1"/>
        </bottom>
        <vertical/>
        <horizontal style="thin">
          <color auto="1"/>
        </horizontal>
      </border>
    </dxf>
    <dxf>
      <numFmt numFmtId="4" formatCode="#,##0.0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4" formatCode="0.0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65" formatCode="&quot;$&quot;\ #,##0.00"/>
    </dxf>
    <dxf>
      <numFmt numFmtId="4" formatCode="#,##0.00"/>
    </dxf>
    <dxf>
      <numFmt numFmtId="164" formatCode="\$#,##0.00"/>
    </dxf>
    <dxf>
      <numFmt numFmtId="164" formatCode="\$#,##0.00"/>
    </dxf>
    <dxf>
      <numFmt numFmtId="19" formatCode="d/m/yyyy"/>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numFmt numFmtId="14" formatCode="0.00%"/>
      <fill>
        <patternFill>
          <bgColor rgb="FFFFC7CE"/>
        </patternFill>
      </fill>
      <border>
        <left style="thin">
          <color auto="1"/>
        </left>
        <right style="thin">
          <color auto="1"/>
        </right>
        <top style="thin">
          <color auto="1"/>
        </top>
        <bottom style="thin">
          <color auto="1"/>
        </bottom>
        <vertical/>
        <horizontal/>
      </border>
    </dxf>
    <dxf>
      <font>
        <color rgb="FF006100"/>
      </font>
      <numFmt numFmtId="14" formatCode="0.00%"/>
      <fill>
        <patternFill>
          <bgColor rgb="FFC6EFCE"/>
        </patternFill>
      </fill>
      <border>
        <left style="thin">
          <color auto="1"/>
        </left>
        <right style="thin">
          <color auto="1"/>
        </right>
        <top style="thin">
          <color auto="1"/>
        </top>
        <bottom style="thin">
          <color auto="1"/>
        </bottom>
        <vertical/>
        <horizontal/>
      </border>
    </dxf>
    <dxf>
      <numFmt numFmtId="14" formatCode="0.00%"/>
    </dxf>
    <dxf>
      <numFmt numFmtId="4" formatCode="#,##0.00"/>
    </dxf>
    <dxf>
      <numFmt numFmtId="4" formatCode="#,##0.00"/>
    </dxf>
    <dxf>
      <numFmt numFmtId="1" formatCode="0"/>
    </dxf>
    <dxf>
      <font>
        <color rgb="FF9C0006"/>
      </font>
      <numFmt numFmtId="164" formatCode="\$#,##0.00"/>
      <fill>
        <patternFill>
          <bgColor rgb="FFFFC7CE"/>
        </patternFill>
      </fill>
      <border>
        <left style="thin">
          <color auto="1"/>
        </left>
        <right style="thin">
          <color auto="1"/>
        </right>
        <top style="thin">
          <color auto="1"/>
        </top>
        <bottom style="thin">
          <color auto="1"/>
        </bottom>
        <vertical/>
        <horizontal/>
      </border>
    </dxf>
    <dxf>
      <font>
        <color rgb="FF006100"/>
      </font>
      <numFmt numFmtId="164" formatCode="\$#,##0.00"/>
      <fill>
        <patternFill>
          <bgColor rgb="FFC6EFCE"/>
        </patternFill>
      </fill>
      <border>
        <left style="thin">
          <color auto="1"/>
        </left>
        <right style="thin">
          <color auto="1"/>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Distribución del portafolio</a:t>
            </a:r>
          </a:p>
        </c:rich>
      </c:tx>
      <c:overlay val="0"/>
    </c:title>
    <c:autoTitleDeleted val="0"/>
    <c:plotArea>
      <c:layout/>
      <c:pieChart>
        <c:varyColors val="1"/>
        <c:ser>
          <c:idx val="0"/>
          <c:order val="0"/>
          <c:tx>
            <c:v>Distribución actual por clase de activo</c:v>
          </c:tx>
          <c:dLbls>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extLst>
          </c:dLbls>
          <c:cat>
            <c:strRef>
              <c:f>Activos!$L$9:$L$14</c:f>
              <c:strCache>
                <c:ptCount val="6"/>
                <c:pt idx="0">
                  <c:v>Acciones</c:v>
                </c:pt>
                <c:pt idx="1">
                  <c:v>CEDEARS</c:v>
                </c:pt>
                <c:pt idx="2">
                  <c:v>Billetera Virtual</c:v>
                </c:pt>
                <c:pt idx="3">
                  <c:v>Efectivo(USD)</c:v>
                </c:pt>
                <c:pt idx="4">
                  <c:v>Efectivo(ARS)</c:v>
                </c:pt>
                <c:pt idx="5">
                  <c:v>Otros</c:v>
                </c:pt>
              </c:strCache>
            </c:strRef>
          </c:cat>
          <c:val>
            <c:numRef>
              <c:f>Activos!$M$9:$M$14</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DD51-4C0B-8282-4DB511540108}"/>
            </c:ext>
          </c:extLst>
        </c:ser>
        <c:dLbls>
          <c:showLegendKey val="0"/>
          <c:showVal val="0"/>
          <c:showCatName val="0"/>
          <c:showSerName val="0"/>
          <c:showPercent val="0"/>
          <c:showBubbleSize val="0"/>
          <c:showLeaderLines val="0"/>
        </c:dLbls>
        <c:firstSliceAng val="0"/>
      </c:pieChart>
    </c:plotArea>
    <c:legend>
      <c:legendPos val="r"/>
      <c:overlay val="0"/>
      <c:txPr>
        <a:bodyPr/>
        <a:lstStyle/>
        <a:p>
          <a:pPr rtl="0">
            <a:defRPr/>
          </a:pPr>
          <a:endParaRPr lang="es-AR"/>
        </a:p>
      </c:tx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Evolución del patrimonio total</a:t>
            </a:r>
          </a:p>
        </c:rich>
      </c:tx>
      <c:overlay val="0"/>
    </c:title>
    <c:autoTitleDeleted val="0"/>
    <c:plotArea>
      <c:layout>
        <c:manualLayout>
          <c:layoutTarget val="inner"/>
          <c:xMode val="edge"/>
          <c:yMode val="edge"/>
          <c:x val="0.11248729787540522"/>
          <c:y val="0.14260552418540734"/>
          <c:w val="0.71492230438885207"/>
          <c:h val="0.49523742534664555"/>
        </c:manualLayout>
      </c:layout>
      <c:lineChart>
        <c:grouping val="standard"/>
        <c:varyColors val="0"/>
        <c:ser>
          <c:idx val="0"/>
          <c:order val="0"/>
          <c:tx>
            <c:v>Patrimonio total</c:v>
          </c:tx>
          <c:spPr>
            <a:ln w="28575">
              <a:solidFill>
                <a:srgbClr val="1F77B4"/>
              </a:solidFill>
            </a:ln>
          </c:spPr>
          <c:marker>
            <c:symbol val="none"/>
          </c:marker>
          <c:cat>
            <c:numRef>
              <c:f>Evolución!$A$2:$A$9</c:f>
              <c:numCache>
                <c:formatCode>m/d/yyyy</c:formatCode>
                <c:ptCount val="8"/>
              </c:numCache>
            </c:numRef>
          </c:cat>
          <c:val>
            <c:numRef>
              <c:f>Evolución!$D$2:$D$9</c:f>
              <c:numCache>
                <c:formatCode>#,##0.00</c:formatCode>
                <c:ptCount val="8"/>
              </c:numCache>
            </c:numRef>
          </c:val>
          <c:smooth val="0"/>
          <c:extLst>
            <c:ext xmlns:c16="http://schemas.microsoft.com/office/drawing/2014/chart" uri="{C3380CC4-5D6E-409C-BE32-E72D297353CC}">
              <c16:uniqueId val="{00000000-5193-4450-B42E-5974D822EB7D}"/>
            </c:ext>
          </c:extLst>
        </c:ser>
        <c:dLbls>
          <c:showLegendKey val="0"/>
          <c:showVal val="0"/>
          <c:showCatName val="0"/>
          <c:showSerName val="0"/>
          <c:showPercent val="0"/>
          <c:showBubbleSize val="0"/>
        </c:dLbls>
        <c:smooth val="0"/>
        <c:axId val="50020001"/>
        <c:axId val="50020002"/>
      </c:lineChart>
      <c:catAx>
        <c:axId val="50020001"/>
        <c:scaling>
          <c:orientation val="minMax"/>
        </c:scaling>
        <c:delete val="0"/>
        <c:axPos val="b"/>
        <c:numFmt formatCode="dd/mm/yyyy" sourceLinked="0"/>
        <c:majorTickMark val="out"/>
        <c:minorTickMark val="none"/>
        <c:tickLblPos val="nextTo"/>
        <c:crossAx val="50020002"/>
        <c:crosses val="autoZero"/>
        <c:auto val="1"/>
        <c:lblAlgn val="ctr"/>
        <c:lblOffset val="100"/>
        <c:noMultiLvlLbl val="1"/>
      </c:catAx>
      <c:valAx>
        <c:axId val="50020002"/>
        <c:scaling>
          <c:orientation val="minMax"/>
        </c:scaling>
        <c:delete val="0"/>
        <c:axPos val="l"/>
        <c:majorGridlines/>
        <c:numFmt formatCode="\$#,##0" sourceLinked="0"/>
        <c:majorTickMark val="out"/>
        <c:minorTickMark val="none"/>
        <c:tickLblPos val="nextTo"/>
        <c:crossAx val="50020001"/>
        <c:crosses val="autoZero"/>
        <c:crossBetween val="between"/>
      </c:valAx>
    </c:plotArea>
    <c:legend>
      <c:legendPos val="r"/>
      <c:layout>
        <c:manualLayout>
          <c:xMode val="edge"/>
          <c:yMode val="edge"/>
          <c:x val="0.8035062811996303"/>
          <c:y val="0.64705053307542515"/>
          <c:w val="0.19250381044102469"/>
          <c:h val="5.982767042457162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Evolución de billetera virtual</a:t>
            </a:r>
          </a:p>
        </c:rich>
      </c:tx>
      <c:layout>
        <c:manualLayout>
          <c:xMode val="edge"/>
          <c:yMode val="edge"/>
          <c:x val="0.27756253042501483"/>
          <c:y val="0"/>
        </c:manualLayout>
      </c:layout>
      <c:overlay val="0"/>
    </c:title>
    <c:autoTitleDeleted val="0"/>
    <c:plotArea>
      <c:layout>
        <c:manualLayout>
          <c:layoutTarget val="inner"/>
          <c:xMode val="edge"/>
          <c:yMode val="edge"/>
          <c:x val="9.7335542339289552E-2"/>
          <c:y val="0.12267182483082917"/>
          <c:w val="0.72362203252529311"/>
          <c:h val="0.49523742534664555"/>
        </c:manualLayout>
      </c:layout>
      <c:lineChart>
        <c:grouping val="standard"/>
        <c:varyColors val="0"/>
        <c:ser>
          <c:idx val="0"/>
          <c:order val="0"/>
          <c:tx>
            <c:v>Billetera virtual</c:v>
          </c:tx>
          <c:spPr>
            <a:ln w="28575">
              <a:solidFill>
                <a:srgbClr val="2CA02C"/>
              </a:solidFill>
            </a:ln>
          </c:spPr>
          <c:marker>
            <c:symbol val="none"/>
          </c:marker>
          <c:cat>
            <c:numRef>
              <c:f>Evolución!$A$2:$A$9</c:f>
              <c:numCache>
                <c:formatCode>m/d/yyyy</c:formatCode>
                <c:ptCount val="8"/>
              </c:numCache>
            </c:numRef>
          </c:cat>
          <c:val>
            <c:numRef>
              <c:f>Evolución!$C$2:$C$9</c:f>
              <c:numCache>
                <c:formatCode>\$#,##0.00</c:formatCode>
                <c:ptCount val="8"/>
              </c:numCache>
            </c:numRef>
          </c:val>
          <c:smooth val="0"/>
          <c:extLst>
            <c:ext xmlns:c16="http://schemas.microsoft.com/office/drawing/2014/chart" uri="{C3380CC4-5D6E-409C-BE32-E72D297353CC}">
              <c16:uniqueId val="{00000000-70E3-4283-9B30-A2129EBFE17F}"/>
            </c:ext>
          </c:extLst>
        </c:ser>
        <c:dLbls>
          <c:showLegendKey val="0"/>
          <c:showVal val="0"/>
          <c:showCatName val="0"/>
          <c:showSerName val="0"/>
          <c:showPercent val="0"/>
          <c:showBubbleSize val="0"/>
        </c:dLbls>
        <c:smooth val="0"/>
        <c:axId val="50030001"/>
        <c:axId val="50030002"/>
      </c:lineChart>
      <c:catAx>
        <c:axId val="50030001"/>
        <c:scaling>
          <c:orientation val="minMax"/>
        </c:scaling>
        <c:delete val="0"/>
        <c:axPos val="b"/>
        <c:numFmt formatCode="dd/mm/yyyy" sourceLinked="0"/>
        <c:majorTickMark val="out"/>
        <c:minorTickMark val="none"/>
        <c:tickLblPos val="nextTo"/>
        <c:crossAx val="50030002"/>
        <c:crosses val="autoZero"/>
        <c:auto val="1"/>
        <c:lblAlgn val="ctr"/>
        <c:lblOffset val="100"/>
        <c:noMultiLvlLbl val="1"/>
      </c:catAx>
      <c:valAx>
        <c:axId val="50030002"/>
        <c:scaling>
          <c:orientation val="minMax"/>
        </c:scaling>
        <c:delete val="0"/>
        <c:axPos val="l"/>
        <c:majorGridlines/>
        <c:numFmt formatCode="\$#,##0" sourceLinked="0"/>
        <c:majorTickMark val="out"/>
        <c:minorTickMark val="none"/>
        <c:tickLblPos val="nextTo"/>
        <c:crossAx val="50030001"/>
        <c:crosses val="autoZero"/>
        <c:crossBetween val="between"/>
      </c:valAx>
    </c:plotArea>
    <c:legend>
      <c:legendPos val="r"/>
      <c:layout>
        <c:manualLayout>
          <c:xMode val="edge"/>
          <c:yMode val="edge"/>
          <c:x val="0.80819426643885439"/>
          <c:y val="0.6271994164501149"/>
          <c:w val="0.18382591684245564"/>
          <c:h val="5.982767042457162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11205</xdr:colOff>
      <xdr:row>11</xdr:row>
      <xdr:rowOff>11206</xdr:rowOff>
    </xdr:from>
    <xdr:to>
      <xdr:col>8</xdr:col>
      <xdr:colOff>134469</xdr:colOff>
      <xdr:row>17</xdr:row>
      <xdr:rowOff>1131794</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179294</xdr:colOff>
      <xdr:row>17</xdr:row>
      <xdr:rowOff>1243853</xdr:rowOff>
    </xdr:from>
    <xdr:to>
      <xdr:col>6</xdr:col>
      <xdr:colOff>964825</xdr:colOff>
      <xdr:row>37</xdr:row>
      <xdr:rowOff>129428</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1221442</xdr:colOff>
      <xdr:row>17</xdr:row>
      <xdr:rowOff>1255058</xdr:rowOff>
    </xdr:from>
    <xdr:to>
      <xdr:col>13</xdr:col>
      <xdr:colOff>158003</xdr:colOff>
      <xdr:row>37</xdr:row>
      <xdr:rowOff>140633</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22" totalsRowShown="0">
  <autoFilter ref="A1:J22" xr:uid="{00000000-0009-0000-0100-000001000000}"/>
  <tableColumns count="10">
    <tableColumn id="2" xr3:uid="{00000000-0010-0000-0000-000002000000}" name="Ticker"/>
    <tableColumn id="3" xr3:uid="{00000000-0010-0000-0000-000003000000}" name="Nombre"/>
    <tableColumn id="4" xr3:uid="{00000000-0010-0000-0000-000004000000}" name="Clase de activo"/>
    <tableColumn id="5" xr3:uid="{00000000-0010-0000-0000-000005000000}" name="Moneda"/>
    <tableColumn id="6" xr3:uid="{00000000-0010-0000-0000-000006000000}" name="Cantidad" dataDxfId="21"/>
    <tableColumn id="7" xr3:uid="{00000000-0010-0000-0000-000007000000}" name="Precio promedio compra" dataDxfId="20" dataCellStyle="Moneda"/>
    <tableColumn id="8" xr3:uid="{00000000-0010-0000-0000-000008000000}" name="Precio actual" dataDxfId="19" dataCellStyle="Moneda"/>
    <tableColumn id="9" xr3:uid="{00000000-0010-0000-0000-000009000000}" name="Valor actual" dataCellStyle="Moneda"/>
    <tableColumn id="10" xr3:uid="{00000000-0010-0000-0000-00000A000000}" name="Resultado " dataCellStyle="Moneda"/>
    <tableColumn id="11" xr3:uid="{00000000-0010-0000-0000-00000B000000}" name="% del portafolio" dataDxfId="18" dataCellStyle="Porcentaj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H4" totalsRowShown="0">
  <autoFilter ref="A1:H4" xr:uid="{00000000-0009-0000-0100-000002000000}"/>
  <tableColumns count="8">
    <tableColumn id="1" xr3:uid="{00000000-0010-0000-0100-000001000000}" name="Fecha" dataDxfId="8">
      <calculatedColumnFormula>TODAY()</calculatedColumnFormula>
    </tableColumn>
    <tableColumn id="2" xr3:uid="{00000000-0010-0000-0100-000002000000}" name="Valor portafolio" dataDxfId="7">
      <calculatedColumnFormula>Activos!M3</calculatedColumnFormula>
    </tableColumn>
    <tableColumn id="3" xr3:uid="{00000000-0010-0000-0100-000003000000}" name="Saldo billetera virtual" dataDxfId="6">
      <calculatedColumnFormula>Activos!M11</calculatedColumnFormula>
    </tableColumn>
    <tableColumn id="4" xr3:uid="{00000000-0010-0000-0100-000004000000}" name="Dolares" dataDxfId="5"/>
    <tableColumn id="5" xr3:uid="{00000000-0010-0000-0100-000005000000}" name="Pesos" dataDxfId="4"/>
    <tableColumn id="6" xr3:uid="{8AA30203-0E42-4C21-A8C2-5576AF8BD920}" name="Tasa inflación mensual (mes anterior)" dataDxfId="3">
      <calculatedColumnFormula array="1">valor_anterior*(1+inflacion_mes)</calculatedColumnFormula>
    </tableColumn>
    <tableColumn id="7" xr3:uid="{CC33062C-3894-47CA-8271-1C282B3E442A}" name="Patrimonio total" dataDxfId="2">
      <calculatedColumnFormula>B2+C2+D2+E2</calculatedColumnFormula>
    </tableColumn>
    <tableColumn id="9" xr3:uid="{60E4D6B4-8DFC-4226-9457-DC50E223EC69}" name="Evolución periódica" dataDxfId="1" dataCellStyle="Moneda">
      <calculatedColumnFormula>IFERROR((G3/G2)-1,"")</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indec.gob.ar/"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18"/>
  <sheetViews>
    <sheetView tabSelected="1" topLeftCell="B4" workbookViewId="0">
      <selection activeCell="C20" sqref="C20"/>
    </sheetView>
  </sheetViews>
  <sheetFormatPr baseColWidth="10" defaultColWidth="9.140625" defaultRowHeight="15" x14ac:dyDescent="0.25"/>
  <cols>
    <col min="1" max="1" width="4.7109375" customWidth="1"/>
    <col min="2" max="2" width="90.7109375" customWidth="1"/>
    <col min="4" max="4" width="85.5703125" customWidth="1"/>
  </cols>
  <sheetData>
    <row r="2" spans="2:4" ht="45" x14ac:dyDescent="0.25">
      <c r="B2" s="1" t="s">
        <v>0</v>
      </c>
      <c r="D2" s="18" t="s">
        <v>57</v>
      </c>
    </row>
    <row r="3" spans="2:4" ht="30" x14ac:dyDescent="0.25">
      <c r="B3" s="1" t="s">
        <v>1</v>
      </c>
      <c r="D3" s="19" t="s">
        <v>52</v>
      </c>
    </row>
    <row r="4" spans="2:4" ht="30" x14ac:dyDescent="0.25">
      <c r="B4" s="1" t="s">
        <v>58</v>
      </c>
      <c r="D4" s="20" t="s">
        <v>53</v>
      </c>
    </row>
    <row r="5" spans="2:4" ht="30" x14ac:dyDescent="0.25">
      <c r="B5" s="1" t="s">
        <v>2</v>
      </c>
    </row>
    <row r="6" spans="2:4" ht="30" x14ac:dyDescent="0.25">
      <c r="B6" s="1" t="s">
        <v>3</v>
      </c>
      <c r="D6" s="18" t="s">
        <v>55</v>
      </c>
    </row>
    <row r="7" spans="2:4" ht="30" x14ac:dyDescent="0.25">
      <c r="B7" s="1" t="s">
        <v>4</v>
      </c>
      <c r="D7" s="19" t="s">
        <v>54</v>
      </c>
    </row>
    <row r="8" spans="2:4" ht="30" x14ac:dyDescent="0.25">
      <c r="B8" s="1" t="s">
        <v>5</v>
      </c>
      <c r="D8" s="20" t="s">
        <v>56</v>
      </c>
    </row>
    <row r="9" spans="2:4" x14ac:dyDescent="0.25">
      <c r="B9" s="1"/>
    </row>
    <row r="10" spans="2:4" ht="15" customHeight="1" x14ac:dyDescent="0.25">
      <c r="B10" s="2" t="s">
        <v>59</v>
      </c>
      <c r="D10" s="29" t="s">
        <v>63</v>
      </c>
    </row>
    <row r="11" spans="2:4" ht="15" customHeight="1" x14ac:dyDescent="0.25">
      <c r="B11" s="26" t="s">
        <v>60</v>
      </c>
      <c r="D11" s="28" t="s">
        <v>62</v>
      </c>
    </row>
    <row r="12" spans="2:4" x14ac:dyDescent="0.25">
      <c r="B12" s="27" t="s">
        <v>61</v>
      </c>
    </row>
    <row r="13" spans="2:4" x14ac:dyDescent="0.25">
      <c r="B13" s="2"/>
      <c r="D13" t="s">
        <v>72</v>
      </c>
    </row>
    <row r="14" spans="2:4" ht="60" x14ac:dyDescent="0.25">
      <c r="B14" s="33" t="s">
        <v>66</v>
      </c>
      <c r="D14" t="s">
        <v>67</v>
      </c>
    </row>
    <row r="15" spans="2:4" x14ac:dyDescent="0.25">
      <c r="D15" t="s">
        <v>68</v>
      </c>
    </row>
    <row r="16" spans="2:4" x14ac:dyDescent="0.25">
      <c r="D16" t="s">
        <v>69</v>
      </c>
    </row>
    <row r="17" spans="4:4" x14ac:dyDescent="0.25">
      <c r="D17" t="s">
        <v>70</v>
      </c>
    </row>
    <row r="18" spans="4:4" x14ac:dyDescent="0.25">
      <c r="D18" t="s">
        <v>71</v>
      </c>
    </row>
  </sheetData>
  <hyperlinks>
    <hyperlink ref="D11" r:id="rId1" xr:uid="{055C066B-CD5F-480D-9C9C-D1461D4EED7E}"/>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2"/>
  <sheetViews>
    <sheetView topLeftCell="B1" workbookViewId="0">
      <pane ySplit="1" topLeftCell="A2" activePane="bottomLeft" state="frozen"/>
      <selection pane="bottomLeft" activeCell="J1" sqref="J1:J1048576"/>
    </sheetView>
  </sheetViews>
  <sheetFormatPr baseColWidth="10" defaultColWidth="9.140625" defaultRowHeight="15" x14ac:dyDescent="0.25"/>
  <cols>
    <col min="1" max="1" width="12.7109375" customWidth="1"/>
    <col min="2" max="3" width="18.7109375" customWidth="1"/>
    <col min="4" max="4" width="10.7109375" customWidth="1"/>
    <col min="5" max="5" width="12.7109375" style="37" customWidth="1"/>
    <col min="6" max="6" width="14.7109375" style="14" customWidth="1"/>
    <col min="7" max="7" width="14.7109375" style="36" customWidth="1"/>
    <col min="8" max="9" width="14.7109375" style="23" customWidth="1"/>
    <col min="10" max="10" width="14.7109375" style="31" customWidth="1"/>
    <col min="11" max="11" width="9.7109375" customWidth="1"/>
    <col min="12" max="12" width="22.7109375" customWidth="1"/>
    <col min="13" max="13" width="13.5703125" customWidth="1"/>
  </cols>
  <sheetData>
    <row r="1" spans="1:13" x14ac:dyDescent="0.25">
      <c r="A1" t="s">
        <v>7</v>
      </c>
      <c r="B1" t="s">
        <v>8</v>
      </c>
      <c r="C1" t="s">
        <v>9</v>
      </c>
      <c r="D1" t="s">
        <v>10</v>
      </c>
      <c r="E1" s="37" t="s">
        <v>11</v>
      </c>
      <c r="F1" s="14" t="s">
        <v>73</v>
      </c>
      <c r="G1" s="36" t="s">
        <v>12</v>
      </c>
      <c r="H1" s="23" t="s">
        <v>13</v>
      </c>
      <c r="I1" s="23" t="s">
        <v>47</v>
      </c>
      <c r="J1" s="31" t="s">
        <v>15</v>
      </c>
    </row>
    <row r="2" spans="1:13" x14ac:dyDescent="0.25">
      <c r="A2" s="4"/>
      <c r="B2" s="4"/>
      <c r="C2" s="4"/>
      <c r="D2" s="4"/>
      <c r="E2" s="38"/>
      <c r="F2" s="15"/>
      <c r="G2" s="15"/>
      <c r="H2" s="22">
        <f t="shared" ref="H2:H7" si="0">E2*G2</f>
        <v>0</v>
      </c>
      <c r="I2" s="22">
        <f>E2*(G2-F2)</f>
        <v>0</v>
      </c>
      <c r="J2" s="32" t="str">
        <f>IFERROR(H2/SUM($H$2:$H$1000),"")</f>
        <v/>
      </c>
      <c r="L2" s="2" t="s">
        <v>17</v>
      </c>
    </row>
    <row r="3" spans="1:13" x14ac:dyDescent="0.25">
      <c r="A3" s="4"/>
      <c r="B3" s="4"/>
      <c r="C3" s="4"/>
      <c r="D3" s="4"/>
      <c r="E3" s="38"/>
      <c r="F3" s="15"/>
      <c r="G3" s="15"/>
      <c r="H3" s="22">
        <f t="shared" si="0"/>
        <v>0</v>
      </c>
      <c r="I3" s="22">
        <f>E3*(G3-F3)</f>
        <v>0</v>
      </c>
      <c r="J3" s="32" t="str">
        <f t="shared" ref="J3:J11" si="1">IFERROR(H3/SUM($H$2:$H$1000),"")</f>
        <v/>
      </c>
      <c r="L3" s="2" t="s">
        <v>18</v>
      </c>
      <c r="M3" s="6">
        <f>M9+M10</f>
        <v>0</v>
      </c>
    </row>
    <row r="4" spans="1:13" x14ac:dyDescent="0.25">
      <c r="A4" s="4"/>
      <c r="B4" s="4"/>
      <c r="C4" s="4"/>
      <c r="D4" s="4"/>
      <c r="E4" s="38"/>
      <c r="F4" s="15"/>
      <c r="G4" s="15"/>
      <c r="H4" s="22">
        <f t="shared" si="0"/>
        <v>0</v>
      </c>
      <c r="I4" s="22">
        <f>E4*(G4-F4)</f>
        <v>0</v>
      </c>
      <c r="J4" s="32" t="str">
        <f t="shared" si="1"/>
        <v/>
      </c>
      <c r="L4" s="2" t="s">
        <v>47</v>
      </c>
      <c r="M4" s="6">
        <f>SUM(I2:I21)</f>
        <v>0</v>
      </c>
    </row>
    <row r="5" spans="1:13" x14ac:dyDescent="0.25">
      <c r="A5" s="4"/>
      <c r="B5" s="4"/>
      <c r="C5" s="4"/>
      <c r="D5" s="4"/>
      <c r="E5" s="38"/>
      <c r="F5" s="15"/>
      <c r="G5" s="15"/>
      <c r="H5" s="22">
        <f t="shared" si="0"/>
        <v>0</v>
      </c>
      <c r="I5" s="22">
        <f>E5*(G5-F5)</f>
        <v>0</v>
      </c>
      <c r="J5" s="32" t="str">
        <f t="shared" si="1"/>
        <v/>
      </c>
      <c r="L5" s="2" t="s">
        <v>19</v>
      </c>
      <c r="M5" s="5">
        <f>MAX(J2:J21)</f>
        <v>0</v>
      </c>
    </row>
    <row r="6" spans="1:13" x14ac:dyDescent="0.25">
      <c r="A6" s="4"/>
      <c r="B6" s="4"/>
      <c r="C6" s="4"/>
      <c r="D6" s="4"/>
      <c r="E6" s="38"/>
      <c r="F6" s="15"/>
      <c r="G6" s="15"/>
      <c r="H6" s="22">
        <f t="shared" si="0"/>
        <v>0</v>
      </c>
      <c r="I6" s="22">
        <f>E6*(G6-F6)</f>
        <v>0</v>
      </c>
      <c r="J6" s="32" t="str">
        <f t="shared" si="1"/>
        <v/>
      </c>
      <c r="L6" s="2" t="s">
        <v>10</v>
      </c>
      <c r="M6" s="7">
        <f>M11+M12+M13</f>
        <v>0</v>
      </c>
    </row>
    <row r="7" spans="1:13" x14ac:dyDescent="0.25">
      <c r="A7" s="4"/>
      <c r="B7" s="4"/>
      <c r="C7" s="4"/>
      <c r="D7" s="4"/>
      <c r="E7" s="38"/>
      <c r="F7" s="15"/>
      <c r="G7" s="15"/>
      <c r="H7" s="22">
        <f t="shared" si="0"/>
        <v>0</v>
      </c>
      <c r="I7" s="22">
        <f t="shared" ref="I7:I9" si="2">E7*(G7-F7)</f>
        <v>0</v>
      </c>
      <c r="J7" s="32" t="str">
        <f t="shared" si="1"/>
        <v/>
      </c>
    </row>
    <row r="8" spans="1:13" x14ac:dyDescent="0.25">
      <c r="A8" s="4"/>
      <c r="B8" s="4"/>
      <c r="C8" s="4"/>
      <c r="D8" s="4"/>
      <c r="E8" s="38"/>
      <c r="F8" s="15"/>
      <c r="G8" s="15"/>
      <c r="H8" s="22">
        <f t="shared" ref="H8:H13" si="3">E8*G8</f>
        <v>0</v>
      </c>
      <c r="I8" s="22">
        <f t="shared" si="2"/>
        <v>0</v>
      </c>
      <c r="J8" s="32" t="str">
        <f t="shared" si="1"/>
        <v/>
      </c>
      <c r="L8" s="8" t="s">
        <v>20</v>
      </c>
      <c r="M8" s="8" t="s">
        <v>21</v>
      </c>
    </row>
    <row r="9" spans="1:13" x14ac:dyDescent="0.25">
      <c r="A9" s="4"/>
      <c r="B9" s="4"/>
      <c r="C9" s="4"/>
      <c r="D9" s="4"/>
      <c r="E9" s="38"/>
      <c r="F9" s="15"/>
      <c r="G9" s="15"/>
      <c r="H9" s="22">
        <f t="shared" si="3"/>
        <v>0</v>
      </c>
      <c r="I9" s="22">
        <f t="shared" si="2"/>
        <v>0</v>
      </c>
      <c r="J9" s="32" t="str">
        <f t="shared" si="1"/>
        <v/>
      </c>
      <c r="L9" s="4" t="s">
        <v>16</v>
      </c>
      <c r="M9" s="6">
        <f t="shared" ref="M9:M14" si="4">SUMIF($C$2:$C$21,L9,$H$2:$H$21)</f>
        <v>0</v>
      </c>
    </row>
    <row r="10" spans="1:13" x14ac:dyDescent="0.25">
      <c r="A10" s="4"/>
      <c r="B10" s="4"/>
      <c r="C10" s="4"/>
      <c r="D10" s="4"/>
      <c r="E10" s="38"/>
      <c r="F10" s="15"/>
      <c r="G10" s="15"/>
      <c r="H10" s="22">
        <f t="shared" si="3"/>
        <v>0</v>
      </c>
      <c r="I10" s="22">
        <f>H10-E10</f>
        <v>0</v>
      </c>
      <c r="J10" s="32" t="str">
        <f t="shared" si="1"/>
        <v/>
      </c>
      <c r="L10" s="4" t="s">
        <v>42</v>
      </c>
      <c r="M10" s="6">
        <f t="shared" si="4"/>
        <v>0</v>
      </c>
    </row>
    <row r="11" spans="1:13" x14ac:dyDescent="0.25">
      <c r="A11" s="4"/>
      <c r="B11" s="4"/>
      <c r="C11" s="4"/>
      <c r="D11" s="4"/>
      <c r="E11" s="38"/>
      <c r="F11" s="15"/>
      <c r="G11" s="15"/>
      <c r="H11" s="22">
        <f t="shared" si="3"/>
        <v>0</v>
      </c>
      <c r="I11" s="22">
        <f>E11*(G11-F11)</f>
        <v>0</v>
      </c>
      <c r="J11" s="32" t="str">
        <f t="shared" si="1"/>
        <v/>
      </c>
      <c r="L11" s="4" t="s">
        <v>43</v>
      </c>
      <c r="M11" s="6">
        <f t="shared" si="4"/>
        <v>0</v>
      </c>
    </row>
    <row r="12" spans="1:13" x14ac:dyDescent="0.25">
      <c r="A12" s="4"/>
      <c r="B12" s="4"/>
      <c r="C12" s="25"/>
      <c r="D12" s="25"/>
      <c r="E12" s="38"/>
      <c r="F12" s="7"/>
      <c r="G12" s="7"/>
      <c r="H12" s="22">
        <f t="shared" si="3"/>
        <v>0</v>
      </c>
      <c r="I12" s="22">
        <f t="shared" ref="I12:I13" si="5">E12*(G12-F12)</f>
        <v>0</v>
      </c>
      <c r="J12" s="35"/>
      <c r="L12" s="4" t="s">
        <v>44</v>
      </c>
      <c r="M12" s="6">
        <f t="shared" si="4"/>
        <v>0</v>
      </c>
    </row>
    <row r="13" spans="1:13" x14ac:dyDescent="0.25">
      <c r="A13" s="4"/>
      <c r="B13" s="25"/>
      <c r="C13" s="25"/>
      <c r="D13" s="25"/>
      <c r="E13" s="38"/>
      <c r="F13" s="7"/>
      <c r="G13" s="7"/>
      <c r="H13" s="22">
        <f t="shared" si="3"/>
        <v>0</v>
      </c>
      <c r="I13" s="22">
        <f t="shared" si="5"/>
        <v>0</v>
      </c>
      <c r="J13" s="35"/>
      <c r="L13" s="4" t="s">
        <v>45</v>
      </c>
      <c r="M13" s="6">
        <f t="shared" si="4"/>
        <v>0</v>
      </c>
    </row>
    <row r="14" spans="1:13" x14ac:dyDescent="0.25">
      <c r="A14" s="4"/>
      <c r="B14" s="25"/>
      <c r="C14" s="25"/>
      <c r="D14" s="25"/>
      <c r="E14" s="38"/>
      <c r="F14" s="7"/>
      <c r="G14" s="7"/>
      <c r="H14" s="25"/>
      <c r="I14" s="25"/>
      <c r="J14" s="35"/>
      <c r="L14" s="4" t="s">
        <v>22</v>
      </c>
      <c r="M14" s="6">
        <f t="shared" si="4"/>
        <v>0</v>
      </c>
    </row>
    <row r="15" spans="1:13" x14ac:dyDescent="0.25">
      <c r="A15" s="4"/>
      <c r="B15" s="25"/>
      <c r="C15" s="25"/>
      <c r="D15" s="25"/>
      <c r="E15" s="38"/>
      <c r="F15" s="7"/>
      <c r="G15" s="7"/>
      <c r="H15" s="25"/>
      <c r="I15" s="25"/>
      <c r="J15" s="35"/>
    </row>
    <row r="16" spans="1:13" x14ac:dyDescent="0.25">
      <c r="A16" s="4"/>
      <c r="B16" s="25"/>
      <c r="C16" s="25"/>
      <c r="D16" s="25"/>
      <c r="E16" s="38"/>
      <c r="F16" s="7"/>
      <c r="G16" s="7"/>
      <c r="H16" s="25"/>
      <c r="I16" s="25"/>
      <c r="J16" s="35"/>
    </row>
    <row r="17" spans="1:10" x14ac:dyDescent="0.25">
      <c r="A17" s="4"/>
      <c r="B17" s="25"/>
      <c r="C17" s="25"/>
      <c r="D17" s="25"/>
      <c r="E17" s="38"/>
      <c r="F17" s="7"/>
      <c r="G17" s="7"/>
      <c r="H17" s="25"/>
      <c r="I17" s="25"/>
      <c r="J17" s="35"/>
    </row>
    <row r="18" spans="1:10" x14ac:dyDescent="0.25">
      <c r="A18" s="4"/>
      <c r="B18" s="25"/>
      <c r="C18" s="25"/>
      <c r="D18" s="25"/>
      <c r="E18" s="38"/>
      <c r="F18" s="7"/>
      <c r="G18" s="7"/>
      <c r="H18" s="25"/>
      <c r="I18" s="25"/>
      <c r="J18" s="35"/>
    </row>
    <row r="19" spans="1:10" x14ac:dyDescent="0.25">
      <c r="A19" s="4"/>
      <c r="B19" s="25"/>
      <c r="C19" s="25"/>
      <c r="D19" s="25"/>
      <c r="E19" s="38"/>
      <c r="F19" s="7"/>
      <c r="G19" s="7"/>
      <c r="H19" s="25"/>
      <c r="I19" s="25"/>
      <c r="J19" s="35"/>
    </row>
    <row r="20" spans="1:10" x14ac:dyDescent="0.25">
      <c r="A20" s="4"/>
      <c r="B20" s="25"/>
      <c r="C20" s="25"/>
      <c r="D20" s="25"/>
      <c r="E20" s="38"/>
      <c r="F20" s="7"/>
      <c r="G20" s="7"/>
      <c r="H20" s="25"/>
      <c r="I20" s="25"/>
      <c r="J20" s="35"/>
    </row>
    <row r="21" spans="1:10" x14ac:dyDescent="0.25">
      <c r="A21" s="4"/>
      <c r="B21" s="25"/>
      <c r="C21" s="25"/>
      <c r="D21" s="25"/>
      <c r="E21" s="38"/>
      <c r="F21" s="7"/>
      <c r="G21" s="7"/>
      <c r="H21" s="25"/>
      <c r="I21" s="25"/>
      <c r="J21" s="35"/>
    </row>
    <row r="22" spans="1:10" x14ac:dyDescent="0.25">
      <c r="A22" s="17"/>
      <c r="B22" s="17"/>
      <c r="C22" s="17"/>
      <c r="D22" s="17"/>
      <c r="E22" s="38"/>
      <c r="F22" s="15"/>
      <c r="G22" s="15"/>
      <c r="H22" s="22"/>
      <c r="I22" s="22"/>
      <c r="J22" s="32"/>
    </row>
  </sheetData>
  <conditionalFormatting sqref="M4">
    <cfRule type="cellIs" dxfId="23" priority="1" operator="greaterThanOrEqual">
      <formula>0</formula>
    </cfRule>
    <cfRule type="cellIs" dxfId="22" priority="2" operator="lessThan">
      <formula>0</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1"/>
  <sheetViews>
    <sheetView workbookViewId="0">
      <pane ySplit="1" topLeftCell="A2" activePane="bottomLeft" state="frozen"/>
      <selection pane="bottomLeft" activeCell="D8" sqref="D8"/>
    </sheetView>
  </sheetViews>
  <sheetFormatPr baseColWidth="10" defaultColWidth="9.140625" defaultRowHeight="15" x14ac:dyDescent="0.25"/>
  <cols>
    <col min="1" max="1" width="12.7109375" style="24" customWidth="1"/>
    <col min="2" max="3" width="18.7109375" customWidth="1"/>
    <col min="4" max="4" width="18.7109375" style="14" customWidth="1"/>
    <col min="5" max="5" width="18.7109375" customWidth="1"/>
    <col min="6" max="6" width="19.42578125" style="13" customWidth="1"/>
    <col min="7" max="7" width="28.140625" style="14" customWidth="1"/>
    <col min="8" max="8" width="18.42578125" style="13" customWidth="1"/>
    <col min="9" max="9" width="21" customWidth="1"/>
    <col min="10" max="10" width="16.42578125" bestFit="1" customWidth="1"/>
    <col min="11" max="11" width="25.42578125" customWidth="1"/>
  </cols>
  <sheetData>
    <row r="1" spans="1:11" ht="15.75" customHeight="1" x14ac:dyDescent="0.25">
      <c r="A1" s="24" t="s">
        <v>6</v>
      </c>
      <c r="B1" t="s">
        <v>18</v>
      </c>
      <c r="C1" t="s">
        <v>23</v>
      </c>
      <c r="D1" s="14" t="s">
        <v>46</v>
      </c>
      <c r="E1" t="s">
        <v>48</v>
      </c>
      <c r="F1" s="13" t="s">
        <v>65</v>
      </c>
      <c r="G1" s="14" t="s">
        <v>24</v>
      </c>
      <c r="H1" s="13" t="s">
        <v>64</v>
      </c>
    </row>
    <row r="2" spans="1:11" x14ac:dyDescent="0.25">
      <c r="A2" s="21"/>
      <c r="B2" s="6"/>
      <c r="C2" s="11"/>
      <c r="D2" s="7"/>
      <c r="E2" s="16">
        <v>0</v>
      </c>
      <c r="F2" s="9">
        <v>0</v>
      </c>
      <c r="G2" s="15">
        <f>B2+C2+D2+E2</f>
        <v>0</v>
      </c>
      <c r="H2" s="30"/>
      <c r="I2" s="2" t="s">
        <v>25</v>
      </c>
    </row>
    <row r="3" spans="1:11" x14ac:dyDescent="0.25">
      <c r="A3" s="21"/>
      <c r="B3" s="6"/>
      <c r="C3" s="6"/>
      <c r="D3" s="7"/>
      <c r="E3" s="16"/>
      <c r="F3" s="9"/>
      <c r="G3" s="15"/>
      <c r="H3" s="30" t="str">
        <f>IFERROR((G3/G2)-1,"")</f>
        <v/>
      </c>
      <c r="I3" s="2" t="s">
        <v>26</v>
      </c>
      <c r="J3" s="6" cm="1">
        <f t="array" ref="J3">INDEX(G2:G200,MATCH(TRUE,G2:G200&lt;&gt;"",0))</f>
        <v>0</v>
      </c>
    </row>
    <row r="4" spans="1:11" x14ac:dyDescent="0.25">
      <c r="A4" s="21"/>
      <c r="B4" s="6"/>
      <c r="C4" s="6"/>
      <c r="D4" s="7"/>
      <c r="E4" s="16"/>
      <c r="F4" s="9"/>
      <c r="G4" s="15"/>
      <c r="H4" s="30" t="str">
        <f>IFERROR((G4/G3)-1,"")</f>
        <v/>
      </c>
      <c r="I4" s="2" t="s">
        <v>27</v>
      </c>
      <c r="J4" s="6" cm="1">
        <f t="array" ref="J4">LOOKUP(2,1/(G2:G9&lt;&gt;""),G2:G9)</f>
        <v>0</v>
      </c>
    </row>
    <row r="5" spans="1:11" x14ac:dyDescent="0.25">
      <c r="I5" s="2" t="s">
        <v>28</v>
      </c>
      <c r="J5" s="5">
        <f>IFERROR((J4/J3)-1,0)</f>
        <v>0</v>
      </c>
    </row>
    <row r="6" spans="1:11" x14ac:dyDescent="0.25">
      <c r="I6" s="2" t="s">
        <v>29</v>
      </c>
      <c r="J6" s="12">
        <f>C2</f>
        <v>0</v>
      </c>
    </row>
    <row r="7" spans="1:11" x14ac:dyDescent="0.25">
      <c r="I7" s="2" t="s">
        <v>30</v>
      </c>
      <c r="J7" s="6" t="e" cm="1">
        <f t="array" ref="J7">LOOKUP(2,1/(C2:C200&lt;&gt;""),C2:C200)</f>
        <v>#N/A</v>
      </c>
    </row>
    <row r="8" spans="1:11" x14ac:dyDescent="0.25">
      <c r="I8" s="2" t="s">
        <v>31</v>
      </c>
      <c r="J8" s="5">
        <f>IFERROR((J7/J6)-1,0)</f>
        <v>0</v>
      </c>
    </row>
    <row r="9" spans="1:11" x14ac:dyDescent="0.25">
      <c r="I9" s="10" t="s">
        <v>50</v>
      </c>
      <c r="J9" s="9" cm="1">
        <f t="array" ref="J9">PRODUCT(1+F2:F100)-1</f>
        <v>0</v>
      </c>
    </row>
    <row r="10" spans="1:11" x14ac:dyDescent="0.25">
      <c r="I10" s="10" t="s">
        <v>51</v>
      </c>
      <c r="J10" s="9">
        <f>J5-J9</f>
        <v>0</v>
      </c>
      <c r="K10" t="str">
        <f>IF(J10&gt;0,"","Perdés contra inflación")</f>
        <v>Perdés contra inflación</v>
      </c>
    </row>
    <row r="11" spans="1:11" x14ac:dyDescent="0.25">
      <c r="K11" t="str">
        <f>IF(J10&gt;0,"Le ganás a inflación","")</f>
        <v/>
      </c>
    </row>
  </sheetData>
  <conditionalFormatting sqref="J8 J5">
    <cfRule type="cellIs" dxfId="17" priority="8" operator="greaterThanOrEqual">
      <formula>0</formula>
    </cfRule>
    <cfRule type="cellIs" dxfId="16" priority="9" operator="lessThan">
      <formula>0</formula>
    </cfRule>
  </conditionalFormatting>
  <conditionalFormatting sqref="H2">
    <cfRule type="cellIs" dxfId="15" priority="7" operator="greaterThan">
      <formula>0</formula>
    </cfRule>
  </conditionalFormatting>
  <conditionalFormatting sqref="H3">
    <cfRule type="cellIs" dxfId="14" priority="5" operator="lessThan">
      <formula>0</formula>
    </cfRule>
    <cfRule type="cellIs" dxfId="13" priority="6" operator="greaterThan">
      <formula>0</formula>
    </cfRule>
  </conditionalFormatting>
  <conditionalFormatting sqref="K1:K1048576">
    <cfRule type="containsText" dxfId="12" priority="3" operator="containsText" text="Le ganás a la inflación">
      <formula>NOT(ISERROR(SEARCH("Le ganás a la inflación",K1)))</formula>
    </cfRule>
    <cfRule type="containsText" dxfId="11" priority="4" operator="containsText" text="Perdés contra inflación">
      <formula>NOT(ISERROR(SEARCH("Perdés contra inflación",K1)))</formula>
    </cfRule>
  </conditionalFormatting>
  <conditionalFormatting sqref="G4">
    <cfRule type="containsText" dxfId="10" priority="2" operator="containsText" text="Le ganás a inflación">
      <formula>NOT(ISERROR(SEARCH("Le ganás a inflación",G4)))</formula>
    </cfRule>
  </conditionalFormatting>
  <conditionalFormatting sqref="K11">
    <cfRule type="containsText" dxfId="9" priority="1" operator="containsText" text="Le ganás a inflación">
      <formula>NOT(ISERROR(SEARCH("Le ganás a inflación",K11)))</formula>
    </cfRule>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8"/>
  <sheetViews>
    <sheetView zoomScale="85" zoomScaleNormal="85" workbookViewId="0">
      <selection activeCell="I9" sqref="I9"/>
    </sheetView>
  </sheetViews>
  <sheetFormatPr baseColWidth="10" defaultColWidth="9.140625" defaultRowHeight="15" x14ac:dyDescent="0.25"/>
  <cols>
    <col min="1" max="1" width="3.7109375" customWidth="1"/>
    <col min="2" max="4" width="18.7109375" customWidth="1"/>
    <col min="6" max="8" width="18.7109375" customWidth="1"/>
    <col min="9" max="9" width="18.7109375" style="13" customWidth="1"/>
    <col min="10" max="11" width="18.7109375" customWidth="1"/>
  </cols>
  <sheetData>
    <row r="2" spans="2:9" ht="21" x14ac:dyDescent="0.25">
      <c r="B2" s="43" t="s">
        <v>49</v>
      </c>
      <c r="C2" s="43"/>
      <c r="D2" s="43"/>
      <c r="E2" s="43"/>
      <c r="F2" s="43"/>
      <c r="G2" s="43"/>
      <c r="H2" s="43"/>
    </row>
    <row r="4" spans="2:9" x14ac:dyDescent="0.25">
      <c r="B4" s="39" t="s">
        <v>32</v>
      </c>
      <c r="C4" s="39"/>
      <c r="D4" s="39" t="s">
        <v>14</v>
      </c>
      <c r="E4" s="39"/>
      <c r="F4" s="39" t="s">
        <v>19</v>
      </c>
      <c r="G4" s="39"/>
    </row>
    <row r="5" spans="2:9" x14ac:dyDescent="0.25">
      <c r="B5" s="40">
        <f>Activos!M3</f>
        <v>0</v>
      </c>
      <c r="C5" s="41"/>
      <c r="D5" s="40">
        <f>Activos!M4</f>
        <v>0</v>
      </c>
      <c r="E5" s="41"/>
      <c r="F5" s="42">
        <f>Activos!M5</f>
        <v>0</v>
      </c>
      <c r="G5" s="41"/>
    </row>
    <row r="7" spans="2:9" x14ac:dyDescent="0.25">
      <c r="B7" s="39" t="s">
        <v>33</v>
      </c>
      <c r="C7" s="39"/>
      <c r="D7" s="39" t="s">
        <v>34</v>
      </c>
      <c r="E7" s="39"/>
      <c r="F7" s="39" t="s">
        <v>35</v>
      </c>
      <c r="G7" s="39"/>
      <c r="H7" s="39" t="s">
        <v>74</v>
      </c>
      <c r="I7" s="39"/>
    </row>
    <row r="8" spans="2:9" x14ac:dyDescent="0.25">
      <c r="B8" s="40" t="e">
        <f>Evolución!J7</f>
        <v>#N/A</v>
      </c>
      <c r="C8" s="41"/>
      <c r="D8" s="40">
        <f>Evolución!J4</f>
        <v>0</v>
      </c>
      <c r="E8" s="41"/>
      <c r="F8" s="42">
        <f>Evolución!J5</f>
        <v>0</v>
      </c>
      <c r="G8" s="41"/>
      <c r="I8" s="34" t="e">
        <f>(Activos!M13+Activos!M12+Activos!M11)/Evolución!G2</f>
        <v>#DIV/0!</v>
      </c>
    </row>
    <row r="11" spans="2:9" x14ac:dyDescent="0.25">
      <c r="B11" s="2" t="s">
        <v>36</v>
      </c>
    </row>
    <row r="12" spans="2:9" ht="90" x14ac:dyDescent="0.25">
      <c r="B12" s="1" t="s">
        <v>37</v>
      </c>
    </row>
    <row r="13" spans="2:9" ht="135" x14ac:dyDescent="0.25">
      <c r="B13" s="1" t="s">
        <v>38</v>
      </c>
    </row>
    <row r="14" spans="2:9" ht="120" x14ac:dyDescent="0.25">
      <c r="B14" s="1" t="s">
        <v>39</v>
      </c>
    </row>
    <row r="15" spans="2:9" ht="120" x14ac:dyDescent="0.25">
      <c r="B15" s="1" t="s">
        <v>40</v>
      </c>
    </row>
    <row r="18" spans="2:2" ht="105" x14ac:dyDescent="0.25">
      <c r="B18" s="3" t="s">
        <v>41</v>
      </c>
    </row>
  </sheetData>
  <mergeCells count="14">
    <mergeCell ref="B2:H2"/>
    <mergeCell ref="B4:C4"/>
    <mergeCell ref="B5:C5"/>
    <mergeCell ref="D4:E4"/>
    <mergeCell ref="D5:E5"/>
    <mergeCell ref="F4:G4"/>
    <mergeCell ref="F5:G5"/>
    <mergeCell ref="H7:I7"/>
    <mergeCell ref="B7:C7"/>
    <mergeCell ref="B8:C8"/>
    <mergeCell ref="D7:E7"/>
    <mergeCell ref="D8:E8"/>
    <mergeCell ref="F7:G7"/>
    <mergeCell ref="F8:G8"/>
  </mergeCells>
  <conditionalFormatting sqref="B5:G8 H7:I7">
    <cfRule type="notContainsErrors" dxfId="0" priority="1">
      <formula>NOT(ISERROR(B5))</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Instrucciones</vt:lpstr>
      <vt:lpstr>Activos</vt:lpstr>
      <vt:lpstr>Evolución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Gaspar de Rosas</cp:lastModifiedBy>
  <dcterms:created xsi:type="dcterms:W3CDTF">2026-06-02T18:59:15Z</dcterms:created>
  <dcterms:modified xsi:type="dcterms:W3CDTF">2026-08-31T18:42:54Z</dcterms:modified>
</cp:coreProperties>
</file>